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han koshy\Downloads\"/>
    </mc:Choice>
  </mc:AlternateContent>
  <xr:revisionPtr revIDLastSave="0" documentId="13_ncr:1_{E23C677C-C375-43E1-AEE9-510D4EDC0EB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Dataset!$D$2:$D$32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2" i="2"/>
  <c r="H6" i="2"/>
  <c r="O3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L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<sst xmlns="http://schemas.openxmlformats.org/spreadsheetml/2006/main" count="154" uniqueCount="123">
  <si>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</si>
  <si>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</si>
  <si>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</si>
  <si>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</si>
  <si>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</si>
  <si>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</si>
  <si>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</si>
  <si>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</si>
  <si>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</si>
  <si>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</si>
  <si>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</si>
  <si>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</si>
  <si>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</si>
  <si>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</si>
  <si>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</si>
  <si>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</si>
  <si>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</si>
  <si>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</si>
  <si>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</si>
  <si>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</si>
  <si>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</si>
  <si>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</si>
  <si>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</si>
  <si>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</si>
  <si>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</si>
  <si>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</si>
  <si>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</si>
  <si>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</si>
  <si>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</si>
  <si>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</si>
  <si>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</si>
  <si>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</si>
  <si>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</si>
  <si>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</si>
  <si>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</si>
  <si>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</si>
  <si>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</si>
  <si>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</si>
  <si>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</si>
  <si>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</si>
  <si>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</si>
  <si>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</si>
  <si>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</si>
  <si>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</si>
  <si>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</si>
  <si>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</si>
  <si>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</si>
  <si>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</si>
  <si>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</si>
  <si>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</si>
  <si>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</si>
  <si>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</si>
  <si>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</si>
  <si>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</si>
  <si>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</si>
  <si>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</si>
  <si>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</si>
  <si>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</si>
  <si>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</si>
  <si>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</si>
  <si>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</si>
  <si>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</si>
  <si>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</si>
  <si>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</si>
  <si>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</si>
  <si>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</si>
  <si>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</si>
  <si>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</si>
  <si>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</si>
  <si>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</si>
  <si>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</si>
  <si>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</si>
  <si>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</si>
  <si>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</si>
  <si>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</si>
  <si>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</si>
  <si>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</si>
  <si>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</si>
  <si>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</si>
  <si>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</si>
  <si>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</si>
  <si>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</si>
  <si>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</si>
  <si>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</si>
  <si>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</si>
  <si>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</si>
  <si>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</si>
  <si>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</si>
  <si>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</si>
  <si>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</si>
  <si>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</si>
  <si>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</si>
  <si>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</si>
  <si>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</si>
  <si>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</si>
  <si>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</si>
  <si>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</si>
  <si>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</si>
  <si>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</si>
  <si>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</si>
  <si>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</si>
  <si>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</si>
  <si>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</si>
  <si>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</si>
  <si>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</si>
  <si>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</si>
  <si>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</si>
  <si>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</si>
  <si>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</si>
  <si>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</si>
  <si>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</si>
  <si>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</si>
  <si>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</si>
  <si>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</si>
  <si>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</si>
  <si>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</si>
  <si>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CATEGORY</t>
  </si>
  <si>
    <t>AVERAGE</t>
  </si>
  <si>
    <t>text format</t>
  </si>
  <si>
    <t xml:space="preserve"> </t>
  </si>
  <si>
    <t>PRODUCT BRAND</t>
  </si>
  <si>
    <t>CON CODE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</si>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</sst>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9" fillId="2" borderId="0" xfId="0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0" fontId="11" fillId="0" borderId="0" xfId="0" applyFont="1"/>
    <xf numFmtId="0" fontId="10" fillId="0" borderId="0" xfId="0" applyFont="1"/>
    <xf numFmtId="14" fontId="11" fillId="0" borderId="0" xfId="0" quotePrefix="1" applyNumberFormat="1" applyFont="1"/>
    <xf numFmtId="14" fontId="10" fillId="0" borderId="0" xfId="0" applyNumberFormat="1" applyFont="1"/>
  </cellXfs>
  <cellStyles count="1">
    <cellStyle name="Normal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T9" sqref="T9"/>
    </sheetView>
  </sheetViews>
  <sheetFormatPr defaultColWidth="12.6640625" defaultRowHeight="15" customHeight="1" x14ac:dyDescent="0.25"/>
  <cols>
    <col min="1" max="6" width="12.6640625" customWidth="1"/>
    <col min="19" max="19" width="22.5546875" bestFit="1" customWidth="1"/>
  </cols>
  <sheetData>
    <row r="1" spans="1:19" ht="15.75" customHeight="1" x14ac:dyDescent="0.25">
      <c r="A1" s="7" t="s">
        <v>19</v>
      </c>
      <c r="B1" s="7" t="s">
        <v>20</v>
      </c>
      <c r="C1" s="7" t="s">
        <v>21</v>
      </c>
      <c r="D1" s="10" t="s">
        <v>22</v>
      </c>
      <c r="E1" s="7" t="s">
        <v>23</v>
      </c>
      <c r="F1" s="7" t="s">
        <v>24</v>
      </c>
      <c r="G1">
        <v>1</v>
      </c>
      <c r="H1" s="7" t="s">
        <v>115</v>
      </c>
      <c r="I1" s="10" t="s">
        <v>115</v>
      </c>
      <c r="J1" s="9" t="s">
        <v>117</v>
      </c>
      <c r="K1" s="10" t="s">
        <v>118</v>
      </c>
      <c r="M1" s="9" t="s">
        <v>116</v>
      </c>
      <c r="N1" s="9"/>
      <c r="O1" s="9" t="s">
        <v>120</v>
      </c>
      <c r="R1" s="13" t="s">
        <v>121</v>
      </c>
      <c r="S1" s="13" t="s">
        <v>122</v>
      </c>
    </row>
    <row r="2" spans="1:19" ht="15.75" customHeight="1" x14ac:dyDescent="0.25">
      <c r="A2" s="16" t="s">
        <v>25</v>
      </c>
      <c r="B2" s="5" t="s">
        <v>26</v>
      </c>
      <c r="C2" s="5" t="s">
        <v>27</v>
      </c>
      <c r="D2" s="11">
        <v>1000</v>
      </c>
      <c r="E2" s="5">
        <v>30</v>
      </c>
      <c r="F2" s="14" t="s">
        <v>28</v>
      </c>
      <c r="H2" t="str">
        <f>IF(D2="","Missing","Present")</f>
        <v>Present</v>
      </c>
      <c r="I2">
        <f>IF(ISBLANK(D2),"UNKNOWN",D2)</f>
        <v>1000</v>
      </c>
      <c r="J2">
        <f>IF(D2="",AVERAGE($D$2:$D$35),D2)</f>
        <v>1000</v>
      </c>
      <c r="K2" t="str">
        <f>PROPER(TRIM(B2))</f>
        <v>Laptop</v>
      </c>
      <c r="M2" t="str">
        <f>IF(F2="","MISSING","AVAILABLE")</f>
        <v>AVAILABLE</v>
      </c>
      <c r="O2" t="str">
        <f>B2&amp;""&amp;C2</f>
        <v>laptopDell</v>
      </c>
      <c r="R2" t="str">
        <f>RIGHT(A2,2)</f>
        <v>US</v>
      </c>
      <c r="S2" s="15" t="str">
        <f>LEFT(A2,6)</f>
        <v>28-JAN</v>
      </c>
    </row>
    <row r="3" spans="1:19" ht="15.75" customHeight="1" x14ac:dyDescent="0.25">
      <c r="A3" s="8" t="s">
        <v>29</v>
      </c>
      <c r="B3" s="8" t="s">
        <v>30</v>
      </c>
      <c r="C3" s="8" t="s">
        <v>31</v>
      </c>
      <c r="D3" s="12">
        <v>80</v>
      </c>
      <c r="E3" s="8">
        <v>15</v>
      </c>
      <c r="F3" s="8" t="s">
        <v>32</v>
      </c>
      <c r="H3" t="str">
        <f t="shared" ref="H3:H35" si="0">IF(D3="","Missing","Present")</f>
        <v>Present</v>
      </c>
      <c r="I3">
        <f t="shared" ref="I3:I35" si="1">IF(ISBLANK(D3),"UNKNOWN",D3)</f>
        <v>80</v>
      </c>
      <c r="J3">
        <f t="shared" ref="J3:J35" si="2">IF(D3="",AVERAGE($D$2:$D$35),D3)</f>
        <v>80</v>
      </c>
      <c r="K3" t="str">
        <f t="shared" ref="K3:K35" si="3">PROPER(TRIM(B3))</f>
        <v>Sneakers</v>
      </c>
      <c r="M3" t="str">
        <f t="shared" ref="M3:M35" si="4">IF(F3="","MISSING","AVAILABLE")</f>
        <v>AVAILABLE</v>
      </c>
      <c r="O3" t="str">
        <f t="shared" ref="O3:O35" si="5">B3&amp;""&amp;C3</f>
        <v>SneakersNike</v>
      </c>
      <c r="P3" s="5"/>
      <c r="R3" t="str">
        <f t="shared" ref="R3:R32" si="6">RIGHT(A3,2)</f>
        <v>US</v>
      </c>
      <c r="S3" s="15" t="str">
        <f t="shared" ref="S3:S32" si="7">LEFT(A3,6)</f>
        <v>15-FEB</v>
      </c>
    </row>
    <row r="4" spans="1:19" ht="15.75" customHeight="1" x14ac:dyDescent="0.25">
      <c r="A4" s="5" t="s">
        <v>33</v>
      </c>
      <c r="B4" s="5" t="s">
        <v>34</v>
      </c>
      <c r="C4" s="5" t="s">
        <v>35</v>
      </c>
      <c r="D4" s="11">
        <v>130</v>
      </c>
      <c r="E4" s="5">
        <v>40</v>
      </c>
      <c r="F4" s="5" t="s">
        <v>36</v>
      </c>
      <c r="H4" t="str">
        <f t="shared" si="0"/>
        <v>Present</v>
      </c>
      <c r="I4">
        <f t="shared" si="1"/>
        <v>130</v>
      </c>
      <c r="J4">
        <f t="shared" si="2"/>
        <v>130</v>
      </c>
      <c r="K4" t="str">
        <f t="shared" si="3"/>
        <v>Coffee Maker</v>
      </c>
      <c r="M4" t="str">
        <f t="shared" si="4"/>
        <v>AVAILABLE</v>
      </c>
      <c r="O4" t="str">
        <f t="shared" si="5"/>
        <v>Coffee MakerKeurig</v>
      </c>
      <c r="P4" s="5"/>
      <c r="Q4" t="s">
        <v>119</v>
      </c>
      <c r="R4" t="str">
        <f t="shared" si="6"/>
        <v>US</v>
      </c>
      <c r="S4" s="15" t="str">
        <f t="shared" si="7"/>
        <v>03-MAR</v>
      </c>
    </row>
    <row r="5" spans="1:19" ht="15.75" customHeight="1" x14ac:dyDescent="0.25">
      <c r="A5" s="8" t="s">
        <v>37</v>
      </c>
      <c r="B5" s="8" t="s">
        <v>38</v>
      </c>
      <c r="C5" s="8" t="s">
        <v>39</v>
      </c>
      <c r="D5" s="12">
        <v>900</v>
      </c>
      <c r="E5" s="8">
        <v>25</v>
      </c>
      <c r="F5" s="8" t="s">
        <v>28</v>
      </c>
      <c r="H5" t="str">
        <f t="shared" si="0"/>
        <v>Present</v>
      </c>
      <c r="I5">
        <f t="shared" si="1"/>
        <v>900</v>
      </c>
      <c r="J5">
        <f t="shared" si="2"/>
        <v>900</v>
      </c>
      <c r="K5" t="str">
        <f t="shared" si="3"/>
        <v>Smartphone</v>
      </c>
      <c r="M5" t="str">
        <f t="shared" si="4"/>
        <v>AVAILABLE</v>
      </c>
      <c r="O5" t="str">
        <f t="shared" si="5"/>
        <v>smartphoneSamsung</v>
      </c>
      <c r="P5" s="5"/>
      <c r="R5" t="str">
        <f t="shared" si="6"/>
        <v>US</v>
      </c>
      <c r="S5" s="15" t="str">
        <f t="shared" si="7"/>
        <v>11-APR</v>
      </c>
    </row>
    <row r="6" spans="1:19" ht="15.75" customHeight="1" x14ac:dyDescent="0.25">
      <c r="A6" s="5" t="s">
        <v>40</v>
      </c>
      <c r="B6" s="5" t="s">
        <v>41</v>
      </c>
      <c r="C6" s="5" t="s">
        <v>42</v>
      </c>
      <c r="D6" s="11">
        <v>70</v>
      </c>
      <c r="E6" s="5">
        <v>20</v>
      </c>
      <c r="F6" s="5"/>
      <c r="H6" t="str">
        <f>IF(D6="","Missing","Present")</f>
        <v>Present</v>
      </c>
      <c r="I6">
        <f t="shared" si="1"/>
        <v>70</v>
      </c>
      <c r="J6">
        <f t="shared" si="2"/>
        <v>70</v>
      </c>
      <c r="K6" t="str">
        <f t="shared" si="3"/>
        <v>Backpack</v>
      </c>
      <c r="M6" t="str">
        <f t="shared" si="4"/>
        <v>MISSING</v>
      </c>
      <c r="O6" t="str">
        <f t="shared" si="5"/>
        <v>BackpackNorth Face</v>
      </c>
      <c r="R6" t="str">
        <f t="shared" si="6"/>
        <v>US</v>
      </c>
      <c r="S6" s="15" t="str">
        <f t="shared" si="7"/>
        <v>22-MAY</v>
      </c>
    </row>
    <row r="7" spans="1:19" ht="15.75" customHeight="1" x14ac:dyDescent="0.25">
      <c r="A7" s="8" t="s">
        <v>43</v>
      </c>
      <c r="B7" s="8" t="s">
        <v>44</v>
      </c>
      <c r="C7" s="8" t="s">
        <v>45</v>
      </c>
      <c r="D7" s="12"/>
      <c r="E7" s="8">
        <v>45</v>
      </c>
      <c r="F7" s="8" t="s">
        <v>28</v>
      </c>
      <c r="H7" t="str">
        <f t="shared" si="0"/>
        <v>Missing</v>
      </c>
      <c r="I7" t="str">
        <f t="shared" si="1"/>
        <v>UNKNOWN</v>
      </c>
      <c r="J7">
        <f t="shared" si="2"/>
        <v>297.85714285714283</v>
      </c>
      <c r="K7" t="str">
        <f t="shared" si="3"/>
        <v>Headphones</v>
      </c>
      <c r="M7" t="str">
        <f t="shared" si="4"/>
        <v>AVAILABLE</v>
      </c>
      <c r="O7" t="str">
        <f t="shared" si="5"/>
        <v>HeadphonesSony</v>
      </c>
      <c r="R7" t="str">
        <f t="shared" si="6"/>
        <v>UK</v>
      </c>
      <c r="S7" s="15" t="str">
        <f t="shared" si="7"/>
        <v>07-JUN</v>
      </c>
    </row>
    <row r="8" spans="1:19" ht="15.75" customHeight="1" x14ac:dyDescent="0.25">
      <c r="A8" s="5" t="s">
        <v>46</v>
      </c>
      <c r="B8" s="5" t="s">
        <v>47</v>
      </c>
      <c r="C8" s="5" t="s">
        <v>48</v>
      </c>
      <c r="D8" s="11">
        <v>30</v>
      </c>
      <c r="E8" s="5">
        <v>5</v>
      </c>
      <c r="F8" s="5" t="s">
        <v>32</v>
      </c>
      <c r="H8" t="str">
        <f t="shared" si="0"/>
        <v>Present</v>
      </c>
      <c r="I8">
        <f t="shared" si="1"/>
        <v>30</v>
      </c>
      <c r="J8">
        <f t="shared" si="2"/>
        <v>30</v>
      </c>
      <c r="K8" t="str">
        <f t="shared" si="3"/>
        <v>T-Shirt</v>
      </c>
      <c r="M8" t="str">
        <f t="shared" si="4"/>
        <v>AVAILABLE</v>
      </c>
      <c r="O8" t="str">
        <f t="shared" si="5"/>
        <v>T-shirtAdidas</v>
      </c>
      <c r="R8" t="str">
        <f t="shared" si="6"/>
        <v>UK</v>
      </c>
      <c r="S8" s="15" t="str">
        <f t="shared" si="7"/>
        <v>19-JUL</v>
      </c>
    </row>
    <row r="9" spans="1:19" ht="15.75" customHeight="1" x14ac:dyDescent="0.25">
      <c r="A9" s="8" t="s">
        <v>49</v>
      </c>
      <c r="B9" s="8" t="s">
        <v>50</v>
      </c>
      <c r="C9" s="8" t="s">
        <v>51</v>
      </c>
      <c r="D9" s="12">
        <v>90</v>
      </c>
      <c r="E9" s="8">
        <v>35</v>
      </c>
      <c r="F9" s="8" t="s">
        <v>36</v>
      </c>
      <c r="H9" t="str">
        <f t="shared" si="0"/>
        <v>Present</v>
      </c>
      <c r="I9">
        <f t="shared" si="1"/>
        <v>90</v>
      </c>
      <c r="J9">
        <f t="shared" si="2"/>
        <v>90</v>
      </c>
      <c r="K9" t="str">
        <f t="shared" si="3"/>
        <v>Blender</v>
      </c>
      <c r="M9" t="str">
        <f t="shared" si="4"/>
        <v>AVAILABLE</v>
      </c>
      <c r="O9" t="str">
        <f t="shared" si="5"/>
        <v>BlenderNinja</v>
      </c>
      <c r="R9" t="str">
        <f t="shared" si="6"/>
        <v>UK</v>
      </c>
      <c r="S9" s="15" t="str">
        <f t="shared" si="7"/>
        <v>23-AUG</v>
      </c>
    </row>
    <row r="10" spans="1:19" ht="15.75" customHeight="1" x14ac:dyDescent="0.25">
      <c r="A10" s="5" t="s">
        <v>52</v>
      </c>
      <c r="B10" s="5" t="s">
        <v>53</v>
      </c>
      <c r="C10" s="5" t="s">
        <v>54</v>
      </c>
      <c r="D10" s="11">
        <v>500</v>
      </c>
      <c r="E10" s="5">
        <v>50</v>
      </c>
      <c r="F10" s="5" t="s">
        <v>28</v>
      </c>
      <c r="H10" t="str">
        <f t="shared" si="0"/>
        <v>Present</v>
      </c>
      <c r="I10">
        <f t="shared" si="1"/>
        <v>500</v>
      </c>
      <c r="J10">
        <f t="shared" si="2"/>
        <v>500</v>
      </c>
      <c r="K10" t="str">
        <f t="shared" si="3"/>
        <v>Tablet</v>
      </c>
      <c r="M10" t="str">
        <f t="shared" si="4"/>
        <v>AVAILABLE</v>
      </c>
      <c r="O10" t="str">
        <f t="shared" si="5"/>
        <v>TabletApple</v>
      </c>
      <c r="R10" t="str">
        <f t="shared" si="6"/>
        <v>UK</v>
      </c>
      <c r="S10" s="15" t="str">
        <f t="shared" si="7"/>
        <v>05-SEP</v>
      </c>
    </row>
    <row r="11" spans="1:19" ht="15.75" customHeight="1" x14ac:dyDescent="0.25">
      <c r="A11" s="8" t="s">
        <v>55</v>
      </c>
      <c r="B11" s="8" t="s">
        <v>56</v>
      </c>
      <c r="C11" s="8" t="s">
        <v>57</v>
      </c>
      <c r="D11" s="12">
        <v>130</v>
      </c>
      <c r="E11" s="8">
        <v>10</v>
      </c>
      <c r="F11" s="8" t="s">
        <v>58</v>
      </c>
      <c r="H11" t="str">
        <f t="shared" si="0"/>
        <v>Present</v>
      </c>
      <c r="I11">
        <f t="shared" si="1"/>
        <v>130</v>
      </c>
      <c r="J11">
        <f t="shared" si="2"/>
        <v>130</v>
      </c>
      <c r="K11" t="str">
        <f t="shared" si="3"/>
        <v>Hiking Boots</v>
      </c>
      <c r="M11" t="str">
        <f t="shared" si="4"/>
        <v>AVAILABLE</v>
      </c>
      <c r="O11" t="str">
        <f t="shared" si="5"/>
        <v>Hiking BootsTimberland</v>
      </c>
      <c r="R11" t="str">
        <f t="shared" si="6"/>
        <v>UK</v>
      </c>
      <c r="S11" s="15" t="str">
        <f t="shared" si="7"/>
        <v>14-OCT</v>
      </c>
    </row>
    <row r="12" spans="1:19" ht="15.75" customHeight="1" x14ac:dyDescent="0.25">
      <c r="A12" s="5" t="s">
        <v>59</v>
      </c>
      <c r="B12" s="5" t="s">
        <v>60</v>
      </c>
      <c r="C12" s="5" t="s">
        <v>61</v>
      </c>
      <c r="D12" s="11">
        <v>950</v>
      </c>
      <c r="E12" s="5">
        <v>25</v>
      </c>
      <c r="F12" s="5" t="s">
        <v>28</v>
      </c>
      <c r="H12" t="str">
        <f t="shared" si="0"/>
        <v>Present</v>
      </c>
      <c r="I12">
        <f t="shared" si="1"/>
        <v>950</v>
      </c>
      <c r="J12">
        <f t="shared" si="2"/>
        <v>950</v>
      </c>
      <c r="K12" t="str">
        <f t="shared" si="3"/>
        <v>Laptop</v>
      </c>
      <c r="M12" t="str">
        <f t="shared" si="4"/>
        <v>AVAILABLE</v>
      </c>
      <c r="O12" t="str">
        <f t="shared" si="5"/>
        <v>LaptopHP</v>
      </c>
      <c r="R12" t="str">
        <f t="shared" si="6"/>
        <v>IN</v>
      </c>
      <c r="S12" s="15" t="str">
        <f t="shared" si="7"/>
        <v>17-JUN</v>
      </c>
    </row>
    <row r="13" spans="1:19" ht="15.75" customHeight="1" x14ac:dyDescent="0.25">
      <c r="A13" s="8" t="s">
        <v>62</v>
      </c>
      <c r="B13" s="8" t="s">
        <v>30</v>
      </c>
      <c r="C13" s="8" t="s">
        <v>48</v>
      </c>
      <c r="D13" s="12">
        <v>90</v>
      </c>
      <c r="E13" s="8">
        <v>40</v>
      </c>
      <c r="F13" s="8"/>
      <c r="H13" t="str">
        <f t="shared" si="0"/>
        <v>Present</v>
      </c>
      <c r="I13">
        <f t="shared" si="1"/>
        <v>90</v>
      </c>
      <c r="J13">
        <f t="shared" si="2"/>
        <v>90</v>
      </c>
      <c r="K13" t="str">
        <f t="shared" si="3"/>
        <v>Sneakers</v>
      </c>
      <c r="M13" t="str">
        <f t="shared" si="4"/>
        <v>MISSING</v>
      </c>
      <c r="O13" t="str">
        <f t="shared" si="5"/>
        <v>SneakersAdidas</v>
      </c>
      <c r="R13" t="str">
        <f t="shared" si="6"/>
        <v>AU</v>
      </c>
      <c r="S13" s="15" t="str">
        <f t="shared" si="7"/>
        <v>25-NOV</v>
      </c>
    </row>
    <row r="14" spans="1:19" ht="15.75" customHeight="1" x14ac:dyDescent="0.25">
      <c r="A14" s="5" t="s">
        <v>63</v>
      </c>
      <c r="B14" s="5" t="s">
        <v>34</v>
      </c>
      <c r="C14" s="5" t="s">
        <v>64</v>
      </c>
      <c r="D14" s="11">
        <v>120</v>
      </c>
      <c r="E14" s="5">
        <v>35</v>
      </c>
      <c r="F14" s="5"/>
      <c r="H14" t="str">
        <f t="shared" si="0"/>
        <v>Present</v>
      </c>
      <c r="I14">
        <f t="shared" si="1"/>
        <v>120</v>
      </c>
      <c r="J14">
        <f t="shared" si="2"/>
        <v>120</v>
      </c>
      <c r="K14" t="str">
        <f t="shared" si="3"/>
        <v>Coffee Maker</v>
      </c>
      <c r="M14" t="str">
        <f t="shared" si="4"/>
        <v>MISSING</v>
      </c>
      <c r="O14" t="str">
        <f t="shared" si="5"/>
        <v>Coffee MakerNespresso</v>
      </c>
      <c r="R14" t="str">
        <f t="shared" si="6"/>
        <v>DE</v>
      </c>
      <c r="S14" s="15" t="str">
        <f t="shared" si="7"/>
        <v>08-DEC</v>
      </c>
    </row>
    <row r="15" spans="1:19" ht="15.75" customHeight="1" x14ac:dyDescent="0.25">
      <c r="A15" s="8" t="s">
        <v>65</v>
      </c>
      <c r="B15" s="8" t="s">
        <v>66</v>
      </c>
      <c r="C15" s="8" t="s">
        <v>67</v>
      </c>
      <c r="D15" s="12">
        <v>150</v>
      </c>
      <c r="E15" s="8">
        <v>15</v>
      </c>
      <c r="F15" s="8" t="s">
        <v>28</v>
      </c>
      <c r="H15" t="str">
        <f t="shared" si="0"/>
        <v>Present</v>
      </c>
      <c r="I15">
        <f t="shared" si="1"/>
        <v>150</v>
      </c>
      <c r="J15">
        <f t="shared" si="2"/>
        <v>150</v>
      </c>
      <c r="K15" t="str">
        <f t="shared" si="3"/>
        <v>Smartwatch</v>
      </c>
      <c r="M15" t="str">
        <f t="shared" si="4"/>
        <v>AVAILABLE</v>
      </c>
      <c r="O15" t="str">
        <f t="shared" si="5"/>
        <v>SmartwatchFitbit</v>
      </c>
      <c r="R15" t="str">
        <f t="shared" si="6"/>
        <v>CA</v>
      </c>
      <c r="S15" s="15" t="str">
        <f t="shared" si="7"/>
        <v>18-FEB</v>
      </c>
    </row>
    <row r="16" spans="1:19" ht="15.75" customHeight="1" x14ac:dyDescent="0.25">
      <c r="A16" s="5" t="s">
        <v>68</v>
      </c>
      <c r="B16" s="5" t="s">
        <v>69</v>
      </c>
      <c r="C16" s="5" t="s">
        <v>70</v>
      </c>
      <c r="D16" s="11">
        <v>250</v>
      </c>
      <c r="E16" s="5">
        <v>20</v>
      </c>
      <c r="F16" s="5" t="s">
        <v>28</v>
      </c>
      <c r="H16" t="str">
        <f t="shared" si="0"/>
        <v>Present</v>
      </c>
      <c r="I16">
        <f t="shared" si="1"/>
        <v>250</v>
      </c>
      <c r="J16">
        <f t="shared" si="2"/>
        <v>250</v>
      </c>
      <c r="K16" t="str">
        <f t="shared" si="3"/>
        <v>Headphones</v>
      </c>
      <c r="M16" t="str">
        <f t="shared" si="4"/>
        <v>AVAILABLE</v>
      </c>
      <c r="O16" t="str">
        <f t="shared" si="5"/>
        <v>headphonesBose</v>
      </c>
      <c r="R16" t="str">
        <f t="shared" si="6"/>
        <v>ES</v>
      </c>
      <c r="S16" s="15" t="str">
        <f t="shared" si="7"/>
        <v>16-APR</v>
      </c>
    </row>
    <row r="17" spans="1:19" ht="15.75" customHeight="1" x14ac:dyDescent="0.25">
      <c r="A17" s="8" t="s">
        <v>71</v>
      </c>
      <c r="B17" s="8" t="s">
        <v>72</v>
      </c>
      <c r="C17" s="8" t="s">
        <v>73</v>
      </c>
      <c r="D17" s="12">
        <v>50</v>
      </c>
      <c r="E17" s="8">
        <v>35</v>
      </c>
      <c r="F17" s="8" t="s">
        <v>74</v>
      </c>
      <c r="H17" t="str">
        <f t="shared" si="0"/>
        <v>Present</v>
      </c>
      <c r="I17">
        <f t="shared" si="1"/>
        <v>50</v>
      </c>
      <c r="J17">
        <f t="shared" si="2"/>
        <v>50</v>
      </c>
      <c r="K17" t="str">
        <f t="shared" si="3"/>
        <v>Laptop Bag</v>
      </c>
      <c r="M17" t="str">
        <f t="shared" si="4"/>
        <v>AVAILABLE</v>
      </c>
      <c r="O17" t="str">
        <f t="shared" si="5"/>
        <v>Laptop BagSamsonite</v>
      </c>
      <c r="R17" t="str">
        <f t="shared" si="6"/>
        <v>CA</v>
      </c>
      <c r="S17" s="15" t="str">
        <f t="shared" si="7"/>
        <v>21-AUG</v>
      </c>
    </row>
    <row r="18" spans="1:19" ht="15.75" customHeight="1" x14ac:dyDescent="0.25">
      <c r="A18" s="5" t="s">
        <v>75</v>
      </c>
      <c r="B18" s="5" t="s">
        <v>66</v>
      </c>
      <c r="C18" s="5" t="s">
        <v>76</v>
      </c>
      <c r="D18" s="11">
        <v>160</v>
      </c>
      <c r="E18" s="5">
        <v>15</v>
      </c>
      <c r="F18" s="5" t="s">
        <v>28</v>
      </c>
      <c r="H18" t="str">
        <f t="shared" si="0"/>
        <v>Present</v>
      </c>
      <c r="I18">
        <f t="shared" si="1"/>
        <v>160</v>
      </c>
      <c r="J18">
        <f t="shared" si="2"/>
        <v>160</v>
      </c>
      <c r="K18" t="str">
        <f t="shared" si="3"/>
        <v>Smartwatch</v>
      </c>
      <c r="M18" t="str">
        <f t="shared" si="4"/>
        <v>AVAILABLE</v>
      </c>
      <c r="O18" t="str">
        <f t="shared" si="5"/>
        <v>SmartwatchHuawei</v>
      </c>
      <c r="R18" t="str">
        <f t="shared" si="6"/>
        <v>CN</v>
      </c>
      <c r="S18" s="15" t="str">
        <f t="shared" si="7"/>
        <v>20-AUG</v>
      </c>
    </row>
    <row r="19" spans="1:19" ht="15.75" customHeight="1" x14ac:dyDescent="0.25">
      <c r="A19" s="8" t="s">
        <v>77</v>
      </c>
      <c r="B19" s="8" t="s">
        <v>26</v>
      </c>
      <c r="C19" s="8" t="s">
        <v>78</v>
      </c>
      <c r="D19" s="12">
        <v>980</v>
      </c>
      <c r="E19" s="8">
        <v>10</v>
      </c>
      <c r="F19" s="8" t="s">
        <v>28</v>
      </c>
      <c r="H19" t="str">
        <f t="shared" si="0"/>
        <v>Present</v>
      </c>
      <c r="I19">
        <f t="shared" si="1"/>
        <v>980</v>
      </c>
      <c r="J19">
        <f t="shared" si="2"/>
        <v>980</v>
      </c>
      <c r="K19" t="str">
        <f t="shared" si="3"/>
        <v>Laptop</v>
      </c>
      <c r="M19" t="str">
        <f t="shared" si="4"/>
        <v>AVAILABLE</v>
      </c>
      <c r="O19" t="str">
        <f t="shared" si="5"/>
        <v>laptopAsus</v>
      </c>
      <c r="R19" t="str">
        <f t="shared" si="6"/>
        <v>IT</v>
      </c>
      <c r="S19" s="15" t="str">
        <f t="shared" si="7"/>
        <v>27-JAN</v>
      </c>
    </row>
    <row r="20" spans="1:19" ht="15.75" customHeight="1" x14ac:dyDescent="0.25">
      <c r="A20" s="5" t="s">
        <v>79</v>
      </c>
      <c r="B20" s="5" t="s">
        <v>80</v>
      </c>
      <c r="C20" s="5" t="s">
        <v>81</v>
      </c>
      <c r="D20" s="11">
        <v>150</v>
      </c>
      <c r="E20" s="5">
        <v>15</v>
      </c>
      <c r="F20" s="5" t="s">
        <v>32</v>
      </c>
      <c r="H20" t="str">
        <f t="shared" si="0"/>
        <v>Present</v>
      </c>
      <c r="I20">
        <f t="shared" si="1"/>
        <v>150</v>
      </c>
      <c r="J20">
        <f t="shared" si="2"/>
        <v>150</v>
      </c>
      <c r="K20" t="str">
        <f t="shared" si="3"/>
        <v>Sunglasses</v>
      </c>
      <c r="M20" t="str">
        <f t="shared" si="4"/>
        <v>AVAILABLE</v>
      </c>
      <c r="O20" t="str">
        <f t="shared" si="5"/>
        <v>SunglassesOakley</v>
      </c>
      <c r="R20" t="str">
        <f t="shared" si="6"/>
        <v>UK</v>
      </c>
      <c r="S20" s="15" t="str">
        <f t="shared" si="7"/>
        <v>01-MAR</v>
      </c>
    </row>
    <row r="21" spans="1:19" ht="15.75" customHeight="1" x14ac:dyDescent="0.25">
      <c r="A21" s="8" t="s">
        <v>82</v>
      </c>
      <c r="B21" s="8" t="s">
        <v>83</v>
      </c>
      <c r="C21" s="8" t="s">
        <v>84</v>
      </c>
      <c r="D21" s="12"/>
      <c r="E21" s="8">
        <v>10</v>
      </c>
      <c r="F21" s="8" t="s">
        <v>58</v>
      </c>
      <c r="H21" t="str">
        <f t="shared" si="0"/>
        <v>Missing</v>
      </c>
      <c r="I21" t="str">
        <f t="shared" si="1"/>
        <v>UNKNOWN</v>
      </c>
      <c r="J21">
        <f t="shared" si="2"/>
        <v>297.85714285714283</v>
      </c>
      <c r="K21" t="str">
        <f t="shared" si="3"/>
        <v>Camping Tent</v>
      </c>
      <c r="M21" t="str">
        <f t="shared" si="4"/>
        <v>AVAILABLE</v>
      </c>
      <c r="O21" t="str">
        <f t="shared" si="5"/>
        <v>Camping TentColeman</v>
      </c>
      <c r="R21" t="str">
        <f t="shared" si="6"/>
        <v>US</v>
      </c>
      <c r="S21" s="15" t="str">
        <f t="shared" si="7"/>
        <v>14-AUG</v>
      </c>
    </row>
    <row r="22" spans="1:19" ht="15.75" customHeight="1" x14ac:dyDescent="0.25">
      <c r="A22" s="5" t="s">
        <v>85</v>
      </c>
      <c r="B22" s="5" t="s">
        <v>86</v>
      </c>
      <c r="C22" s="5" t="s">
        <v>87</v>
      </c>
      <c r="D22" s="11">
        <v>700</v>
      </c>
      <c r="E22" s="5">
        <v>50</v>
      </c>
      <c r="F22" s="5" t="s">
        <v>28</v>
      </c>
      <c r="H22" t="str">
        <f t="shared" si="0"/>
        <v>Present</v>
      </c>
      <c r="I22">
        <f t="shared" si="1"/>
        <v>700</v>
      </c>
      <c r="J22">
        <f t="shared" si="2"/>
        <v>700</v>
      </c>
      <c r="K22" t="str">
        <f t="shared" si="3"/>
        <v>Camera</v>
      </c>
      <c r="M22" t="str">
        <f t="shared" si="4"/>
        <v>AVAILABLE</v>
      </c>
      <c r="O22" t="str">
        <f t="shared" si="5"/>
        <v>CameraNikon</v>
      </c>
      <c r="R22" t="str">
        <f t="shared" si="6"/>
        <v>RU</v>
      </c>
      <c r="S22" s="15" t="str">
        <f t="shared" si="7"/>
        <v>14-MAY</v>
      </c>
    </row>
    <row r="23" spans="1:19" ht="15.75" customHeight="1" x14ac:dyDescent="0.25">
      <c r="A23" s="8" t="s">
        <v>88</v>
      </c>
      <c r="B23" s="8" t="s">
        <v>89</v>
      </c>
      <c r="C23" s="8" t="s">
        <v>90</v>
      </c>
      <c r="D23" s="12">
        <v>80</v>
      </c>
      <c r="E23" s="8">
        <v>20</v>
      </c>
      <c r="F23" s="8" t="s">
        <v>36</v>
      </c>
      <c r="H23" t="str">
        <f t="shared" si="0"/>
        <v>Present</v>
      </c>
      <c r="I23">
        <f t="shared" si="1"/>
        <v>80</v>
      </c>
      <c r="J23">
        <f t="shared" si="2"/>
        <v>80</v>
      </c>
      <c r="K23" t="str">
        <f t="shared" si="3"/>
        <v>Microwave</v>
      </c>
      <c r="M23" t="str">
        <f t="shared" si="4"/>
        <v>AVAILABLE</v>
      </c>
      <c r="O23" t="str">
        <f t="shared" si="5"/>
        <v>MicrowavePanasonic</v>
      </c>
      <c r="R23" t="str">
        <f t="shared" si="6"/>
        <v>CA</v>
      </c>
      <c r="S23" s="15" t="str">
        <f t="shared" si="7"/>
        <v>09-JAN</v>
      </c>
    </row>
    <row r="24" spans="1:19" ht="15.75" customHeight="1" x14ac:dyDescent="0.25">
      <c r="A24" s="5" t="s">
        <v>91</v>
      </c>
      <c r="B24" s="5" t="s">
        <v>92</v>
      </c>
      <c r="C24" s="5" t="s">
        <v>93</v>
      </c>
      <c r="D24" s="11">
        <v>150</v>
      </c>
      <c r="E24" s="5">
        <v>30</v>
      </c>
      <c r="F24" s="5"/>
      <c r="H24" t="str">
        <f t="shared" si="0"/>
        <v>Present</v>
      </c>
      <c r="I24">
        <f t="shared" si="1"/>
        <v>150</v>
      </c>
      <c r="J24">
        <f t="shared" si="2"/>
        <v>150</v>
      </c>
      <c r="K24" t="str">
        <f t="shared" si="3"/>
        <v>Fitness Tracker</v>
      </c>
      <c r="M24" t="str">
        <f t="shared" si="4"/>
        <v>MISSING</v>
      </c>
      <c r="O24" t="str">
        <f t="shared" si="5"/>
        <v>Fitness TrackerXiaomi</v>
      </c>
      <c r="R24" t="str">
        <f t="shared" si="6"/>
        <v>BR</v>
      </c>
      <c r="S24" s="15" t="str">
        <f t="shared" si="7"/>
        <v>19-JUL</v>
      </c>
    </row>
    <row r="25" spans="1:19" ht="15.75" customHeight="1" x14ac:dyDescent="0.25">
      <c r="A25" s="5" t="s">
        <v>94</v>
      </c>
      <c r="B25" s="5" t="s">
        <v>95</v>
      </c>
      <c r="C25" s="5" t="s">
        <v>96</v>
      </c>
      <c r="D25" s="11">
        <v>800</v>
      </c>
      <c r="E25" s="5">
        <v>45</v>
      </c>
      <c r="F25" s="5" t="s">
        <v>28</v>
      </c>
      <c r="H25" t="str">
        <f t="shared" si="0"/>
        <v>Present</v>
      </c>
      <c r="I25">
        <f t="shared" si="1"/>
        <v>800</v>
      </c>
      <c r="J25">
        <f t="shared" si="2"/>
        <v>800</v>
      </c>
      <c r="K25" t="str">
        <f t="shared" si="3"/>
        <v>Smartphone</v>
      </c>
      <c r="M25" t="str">
        <f t="shared" si="4"/>
        <v>AVAILABLE</v>
      </c>
      <c r="O25" t="str">
        <f t="shared" si="5"/>
        <v>SmartphoneGoogle</v>
      </c>
      <c r="R25" t="str">
        <f t="shared" si="6"/>
        <v>CA</v>
      </c>
      <c r="S25" s="15" t="str">
        <f t="shared" si="7"/>
        <v>29-SEP</v>
      </c>
    </row>
    <row r="26" spans="1:19" ht="15.75" customHeight="1" x14ac:dyDescent="0.25">
      <c r="A26" s="8" t="s">
        <v>97</v>
      </c>
      <c r="B26" s="8" t="s">
        <v>80</v>
      </c>
      <c r="C26" s="8" t="s">
        <v>98</v>
      </c>
      <c r="D26" s="12"/>
      <c r="E26" s="8">
        <v>25</v>
      </c>
      <c r="F26" s="8" t="s">
        <v>32</v>
      </c>
      <c r="H26" t="str">
        <f t="shared" si="0"/>
        <v>Missing</v>
      </c>
      <c r="I26" t="str">
        <f t="shared" si="1"/>
        <v>UNKNOWN</v>
      </c>
      <c r="J26">
        <f t="shared" si="2"/>
        <v>297.85714285714283</v>
      </c>
      <c r="K26" t="str">
        <f t="shared" si="3"/>
        <v>Sunglasses</v>
      </c>
      <c r="M26" t="str">
        <f t="shared" si="4"/>
        <v>AVAILABLE</v>
      </c>
      <c r="O26" t="str">
        <f t="shared" si="5"/>
        <v>SunglassesRay-Ban</v>
      </c>
      <c r="R26" t="str">
        <f t="shared" si="6"/>
        <v>CA</v>
      </c>
      <c r="S26" s="15" t="str">
        <f t="shared" si="7"/>
        <v>03-JUN</v>
      </c>
    </row>
    <row r="27" spans="1:19" ht="15.75" customHeight="1" x14ac:dyDescent="0.25">
      <c r="A27" s="5" t="s">
        <v>99</v>
      </c>
      <c r="B27" s="5" t="s">
        <v>50</v>
      </c>
      <c r="C27" s="5" t="s">
        <v>100</v>
      </c>
      <c r="D27" s="11">
        <v>400</v>
      </c>
      <c r="E27" s="5">
        <v>40</v>
      </c>
      <c r="F27" s="5" t="s">
        <v>36</v>
      </c>
      <c r="H27" t="str">
        <f t="shared" si="0"/>
        <v>Present</v>
      </c>
      <c r="I27">
        <f t="shared" si="1"/>
        <v>400</v>
      </c>
      <c r="J27">
        <f t="shared" si="2"/>
        <v>400</v>
      </c>
      <c r="K27" t="str">
        <f t="shared" si="3"/>
        <v>Blender</v>
      </c>
      <c r="M27" t="str">
        <f t="shared" si="4"/>
        <v>AVAILABLE</v>
      </c>
      <c r="O27" t="str">
        <f t="shared" si="5"/>
        <v>BlenderVitamix</v>
      </c>
      <c r="R27" t="str">
        <f t="shared" si="6"/>
        <v>CA</v>
      </c>
      <c r="S27" s="15" t="str">
        <f t="shared" si="7"/>
        <v>11-JUL</v>
      </c>
    </row>
    <row r="28" spans="1:19" ht="15.75" customHeight="1" x14ac:dyDescent="0.25">
      <c r="A28" s="5" t="s">
        <v>101</v>
      </c>
      <c r="B28" s="5" t="s">
        <v>102</v>
      </c>
      <c r="C28" s="5" t="s">
        <v>103</v>
      </c>
      <c r="D28" s="11">
        <v>60</v>
      </c>
      <c r="E28" s="5">
        <v>30</v>
      </c>
      <c r="F28" s="5" t="s">
        <v>32</v>
      </c>
      <c r="H28" t="str">
        <f t="shared" si="0"/>
        <v>Present</v>
      </c>
      <c r="I28">
        <f t="shared" si="1"/>
        <v>60</v>
      </c>
      <c r="J28">
        <f t="shared" si="2"/>
        <v>60</v>
      </c>
      <c r="K28" t="str">
        <f t="shared" si="3"/>
        <v>Dress</v>
      </c>
      <c r="M28" t="str">
        <f t="shared" si="4"/>
        <v>AVAILABLE</v>
      </c>
      <c r="O28" t="str">
        <f t="shared" si="5"/>
        <v>DressZara</v>
      </c>
      <c r="R28" t="str">
        <f t="shared" si="6"/>
        <v>CA</v>
      </c>
      <c r="S28" s="15" t="str">
        <f t="shared" si="7"/>
        <v>07-MAR</v>
      </c>
    </row>
    <row r="29" spans="1:19" ht="15.75" customHeight="1" x14ac:dyDescent="0.25">
      <c r="A29" s="8" t="s">
        <v>104</v>
      </c>
      <c r="B29" s="8" t="s">
        <v>105</v>
      </c>
      <c r="C29" s="8" t="s">
        <v>106</v>
      </c>
      <c r="D29" s="12">
        <v>40</v>
      </c>
      <c r="E29" s="8">
        <v>10</v>
      </c>
      <c r="F29" s="8" t="s">
        <v>36</v>
      </c>
      <c r="H29" t="str">
        <f t="shared" si="0"/>
        <v>Present</v>
      </c>
      <c r="I29">
        <f t="shared" si="1"/>
        <v>40</v>
      </c>
      <c r="J29">
        <f t="shared" si="2"/>
        <v>40</v>
      </c>
      <c r="K29" t="str">
        <f t="shared" si="3"/>
        <v>Toaster</v>
      </c>
      <c r="M29" t="str">
        <f t="shared" si="4"/>
        <v>AVAILABLE</v>
      </c>
      <c r="O29" t="str">
        <f t="shared" si="5"/>
        <v>ToasterHamilton</v>
      </c>
      <c r="R29" t="str">
        <f t="shared" si="6"/>
        <v>CA</v>
      </c>
      <c r="S29" s="15" t="str">
        <f t="shared" si="7"/>
        <v>13-APR</v>
      </c>
    </row>
    <row r="30" spans="1:19" ht="15.75" customHeight="1" x14ac:dyDescent="0.25">
      <c r="A30" s="5" t="s">
        <v>107</v>
      </c>
      <c r="B30" s="5" t="s">
        <v>92</v>
      </c>
      <c r="C30" s="5" t="s">
        <v>108</v>
      </c>
      <c r="D30" s="11">
        <v>130</v>
      </c>
      <c r="E30" s="5">
        <v>5</v>
      </c>
      <c r="F30" s="5" t="s">
        <v>28</v>
      </c>
      <c r="H30" t="str">
        <f t="shared" si="0"/>
        <v>Present</v>
      </c>
      <c r="I30">
        <f t="shared" si="1"/>
        <v>130</v>
      </c>
      <c r="J30">
        <f t="shared" si="2"/>
        <v>130</v>
      </c>
      <c r="K30" t="str">
        <f t="shared" si="3"/>
        <v>Fitness Tracker</v>
      </c>
      <c r="M30" t="str">
        <f t="shared" si="4"/>
        <v>AVAILABLE</v>
      </c>
      <c r="O30" t="str">
        <f t="shared" si="5"/>
        <v>Fitness TrackerGarmin</v>
      </c>
      <c r="R30" t="str">
        <f t="shared" si="6"/>
        <v>CA</v>
      </c>
      <c r="S30" s="15" t="str">
        <f t="shared" si="7"/>
        <v>24-MAY</v>
      </c>
    </row>
    <row r="31" spans="1:19" ht="15.75" customHeight="1" x14ac:dyDescent="0.25">
      <c r="A31" s="8" t="s">
        <v>109</v>
      </c>
      <c r="B31" s="8" t="s">
        <v>110</v>
      </c>
      <c r="C31" s="8" t="s">
        <v>111</v>
      </c>
      <c r="D31" s="12">
        <v>50</v>
      </c>
      <c r="E31" s="8">
        <v>50</v>
      </c>
      <c r="F31" s="8" t="s">
        <v>32</v>
      </c>
      <c r="H31" t="str">
        <f t="shared" si="0"/>
        <v>Present</v>
      </c>
      <c r="I31">
        <f t="shared" si="1"/>
        <v>50</v>
      </c>
      <c r="J31">
        <f t="shared" si="2"/>
        <v>50</v>
      </c>
      <c r="K31" t="str">
        <f t="shared" si="3"/>
        <v>Jeans</v>
      </c>
      <c r="M31" t="str">
        <f t="shared" si="4"/>
        <v>AVAILABLE</v>
      </c>
      <c r="O31" t="str">
        <f t="shared" si="5"/>
        <v>JeansLevi's</v>
      </c>
      <c r="R31" t="str">
        <f t="shared" si="6"/>
        <v>CA</v>
      </c>
      <c r="S31" s="15" t="str">
        <f t="shared" si="7"/>
        <v>02-DEC</v>
      </c>
    </row>
    <row r="32" spans="1:19" ht="15.75" customHeight="1" x14ac:dyDescent="0.25">
      <c r="A32" s="8" t="s">
        <v>112</v>
      </c>
      <c r="B32" s="8" t="s">
        <v>113</v>
      </c>
      <c r="C32" s="8" t="s">
        <v>114</v>
      </c>
      <c r="D32" s="12">
        <v>100</v>
      </c>
      <c r="E32" s="8">
        <v>20</v>
      </c>
      <c r="F32" s="8" t="s">
        <v>74</v>
      </c>
      <c r="H32" t="str">
        <f t="shared" si="0"/>
        <v>Present</v>
      </c>
      <c r="I32">
        <f t="shared" si="1"/>
        <v>100</v>
      </c>
      <c r="J32">
        <f t="shared" si="2"/>
        <v>100</v>
      </c>
      <c r="K32" t="str">
        <f t="shared" si="3"/>
        <v>Watch</v>
      </c>
      <c r="L32" t="str">
        <f t="shared" ref="L32:L35" si="8">SUBSTITUTE(F37,"ELECTRONICS.","ELECTRONI")</f>
        <v/>
      </c>
      <c r="M32" t="str">
        <f t="shared" si="4"/>
        <v>AVAILABLE</v>
      </c>
      <c r="O32" t="str">
        <f t="shared" si="5"/>
        <v>WatchCasio</v>
      </c>
      <c r="R32" t="str">
        <f t="shared" si="6"/>
        <v>FR</v>
      </c>
      <c r="S32" s="15" t="str">
        <f t="shared" si="7"/>
        <v>09-JUL</v>
      </c>
    </row>
    <row r="33" spans="15:15" ht="15.75" customHeight="1" x14ac:dyDescent="0.25"/>
    <row r="34" spans="15:15" ht="15.75" customHeight="1" x14ac:dyDescent="0.25"/>
    <row r="35" spans="15:15" ht="15.75" customHeight="1" x14ac:dyDescent="0.25">
      <c r="O35" t="str">
        <f t="shared" si="5"/>
        <v/>
      </c>
    </row>
    <row r="36" spans="15:15" ht="15.75" customHeight="1" x14ac:dyDescent="0.25"/>
    <row r="37" spans="15:15" ht="15.75" customHeight="1" x14ac:dyDescent="0.25"/>
    <row r="38" spans="15:15" ht="15.75" customHeight="1" x14ac:dyDescent="0.25"/>
    <row r="39" spans="15:15" ht="15.75" customHeight="1" x14ac:dyDescent="0.25"/>
    <row r="40" spans="15:15" ht="15.75" customHeight="1" x14ac:dyDescent="0.25"/>
    <row r="41" spans="15:15" ht="15.75" customHeight="1" x14ac:dyDescent="0.25"/>
    <row r="42" spans="15:15" ht="15.75" customHeight="1" x14ac:dyDescent="0.25"/>
    <row r="43" spans="15:15" ht="15.75" customHeight="1" x14ac:dyDescent="0.25"/>
    <row r="44" spans="15:15" ht="15.75" customHeight="1" x14ac:dyDescent="0.25"/>
    <row r="45" spans="15:15" ht="15.75" customHeight="1" x14ac:dyDescent="0.25"/>
    <row r="46" spans="15:15" ht="15.75" customHeight="1" x14ac:dyDescent="0.25"/>
    <row r="47" spans="15:15" ht="15.75" customHeight="1" x14ac:dyDescent="0.25"/>
    <row r="48" spans="15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:F32">
    <cfRule type="containsText" dxfId="1" priority="4" operator="containsText" text="ELECTRONICS">
      <formula>NOT(ISERROR(SEARCH("ELECTRONICS",F2)))</formula>
    </cfRule>
  </conditionalFormatting>
  <conditionalFormatting sqref="D2:D32">
    <cfRule type="colorScale" priority="3">
      <colorScale>
        <cfvo type="num" val="&quot;&gt;900&quot;"/>
        <cfvo type="num" val="&quot;&lt;900&quot;"/>
        <color rgb="FFFFFF00"/>
        <color theme="5"/>
      </colorScale>
    </cfRule>
    <cfRule type="colorScale" priority="2">
      <colorScale>
        <cfvo type="num" val="&quot;&gt;900&quot;"/>
        <cfvo type="num" val="&quot;&lt;900&quot;"/>
        <color rgb="FFFF7128"/>
        <color rgb="FFFFEF9C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{07601CDD-642A-4590-8833-CFD48CB6FF1B}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601CDD-642A-4590-8833-CFD48CB6FF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Kavitha koshy</cp:lastModifiedBy>
  <dcterms:modified xsi:type="dcterms:W3CDTF">2026-09-10T20:27:01Z</dcterms:modified>
</cp:coreProperties>
</file>